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oco\Downloads\"/>
    </mc:Choice>
  </mc:AlternateContent>
  <x:bookViews>
    <x:workbookView xWindow="0" yWindow="0" windowWidth="28580" windowHeight="13100" tabRatio="500"/>
  </x:bookViews>
  <x:sheets>
    <x:sheet name="회원 대회참가 현황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<x:sst xmlns:r="http://schemas.openxmlformats.org/officeDocument/2006/relationships" xmlns:c="http://schemas.openxmlformats.org/drawingml/2006/chart" xmlns:x="http://schemas.openxmlformats.org/spreadsheetml/2006/main" count="225" uniqueCount="149">
  <x:si>
    <x:r>
      <x:t>철인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000000"/>
          </x:rPr>
        </mc:Fallback>
      </mc:AlternateContent>
      <x:t>종</x:t>
    </x:r>
  </x:si>
  <x:si>
    <x:t>5/9~10</x:t>
  </x:si>
  <x:si>
    <x:t>6/13~14</x:t>
  </x:si>
  <x:si>
    <x:t>5/16~17</x:t>
  </x:si>
  <x:si>
    <x:t>5/2~3</x:t>
  </x:si>
  <x:si>
    <x:t>1/22~25</x:t>
  </x:si>
  <x:si>
    <x:t>킹코스급</x:t>
  </x:si>
  <x:si>
    <x:t>세부종목</x:t>
  </x:si>
  <x:si>
    <x:t>7/4~5</x:t>
  </x:si>
  <x:si>
    <x:t>진안그란폰도</x:t>
  </x:si>
  <x:si>
    <x:t>청주마라톤대회</x:t>
  </x:si>
  <x:si>
    <x:r>
      <x:t>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</x:t>
    </x:r>
  </x:si>
  <x:si>
    <x:t>문경그란폰도</x:t>
  </x:si>
  <x:si>
    <x:r>
      <x:t>3/29(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</x:si>
  <x:si>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r>
      <x:t>달리기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ff"/>
            <x:b val="1"/>
          </x:rPr>
        </mc:Fallback>
      </mc:AlternateContent>
      <x:t>(km)</x:t>
    </x:r>
  </x:si>
  <x:si>
    <x:r>
      <x:t>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ff"/>
            <x:b val="1"/>
          </x:rPr>
        </mc:Fallback>
      </mc:AlternateContent>
      <x:t>(km)</x:t>
    </x:r>
  </x:si>
  <x:si>
    <x:r>
      <x:t>1/11(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</x:si>
  <x:si>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t>트레일러닝</x:t>
  </x:si>
  <x:si>
    <x:t>58km</x:t>
  </x:si>
  <x:si>
    <x:t>그란폰도</x:t>
  </x:si>
  <x:si>
    <x:t>올림픽코스</x:t>
  </x:si>
  <x:si>
    <x:r>
      <x:t>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ff"/>
            <x:b val="1"/>
          </x:rPr>
        </mc:Fallback>
      </mc:AlternateContent>
      <x:t>(km)</x:t>
    </x:r>
  </x:si>
  <x:si>
    <x:t>70.3</x:t>
  </x:si>
  <x:si>
    <x:t>하와이 코나</x:t>
  </x:si>
  <x:si>
    <x:r>
      <x:t>3/28(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</x:si>
  <x:si>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t>120km</x:t>
  </x:si>
  <x:si>
    <x:t>32km</x:t>
  </x:si>
  <x:si>
    <x:t>구례 아이언맨</x:t>
  </x:si>
  <x:si>
    <x:t>양평그란폰도</x:t>
  </x:si>
  <x:si>
    <x:r>
      <x:t>6/7(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</x:si>
  <x:si>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r>
      <x:t>9/6(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</x:si>
  <x:si>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t>트랜스제주</x:t>
  </x:si>
  <x:si>
    <x:r>
      <x:t>충주 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</x:t>
    </x:r>
  </x:si>
  <x:si>
    <x:t>남해 한국철인</x:t>
  </x:si>
  <x:si>
    <x:r>
      <x:t>4/11(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</x:si>
  <x:si>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r>
      <x:t>4/16(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목</x:t>
    </x:r>
    <x:r>
      <x:rPr>
        <x:rFont val="Arial"/>
        <x:sz val="10"/>
        <x:color rgb="ff000000"/>
      </x:rPr>
      <x:t>)</x:t>
    </x:r>
  </x:si>
  <x:si>
    <x:t>10km</x:t>
  </x:si>
  <x:si>
    <x:t>100km</x:t>
  </x:si>
  <x:si>
    <x:r>
      <x:t>6/8(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  <x:r>
      <x:rPr>
        <x:rFont val="Arial"/>
        <x:sz val="10"/>
        <x:color rgb="ff000000"/>
      </x:rPr>
      <x:t>)</x:t>
    </x:r>
  </x:si>
  <x:si>
    <x:t>10/2~4</x:t>
  </x:si>
  <x:si>
    <x:r>
      <x:t>4/25(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</x:si>
  <x:si>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r>
      <x:t>8/30(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</x:si>
  <x:si>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t>공주백제마라톤</x:t>
  </x:si>
  <x:si>
    <x:t>9/12~20</x:t>
  </x:si>
  <x:si>
    <x:t>9/18~20</x:t>
  </x:si>
  <x:si>
    <x:t>20km</x:t>
  </x:si>
  <x:si>
    <x:r>
      <x:t>9/5(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</x:si>
  <x:si>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r>
      <x:t>4/26(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</x:si>
  <x:si>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r>
      <x:t>5/30(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</x:si>
  <x:si>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t>40km</x:t>
  </x:si>
  <x:si>
    <x:r>
      <x:t>6/27(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</x:si>
  <x:si>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t>100mile</x:t>
  </x:si>
  <x:si>
    <x:r>
      <x:t>10/5(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  <x:r>
      <x:rPr>
        <x:rFont val="Arial"/>
        <x:sz val="10"/>
        <x:color rgb="ff000000"/>
      </x:rPr>
      <x:t>)</x:t>
    </x:r>
  </x:si>
  <x:si>
    <x:r>
      <x:t>10/4(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</x:si>
  <x:si>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r>
      <x:t>분류 색상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  <x:b val="1"/>
          </x:rPr>
        </mc:Fallback>
      </mc:AlternateContent>
      <x:t>:</x:t>
    </x:r>
  </x:si>
  <x:si>
    <x:r>
      <x:t>10/9(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금</x:t>
    </x:r>
    <x:r>
      <x:rPr>
        <x:rFont val="Arial"/>
        <x:sz val="10"/>
        <x:color rgb="ff000000"/>
      </x:rPr>
      <x:t>)</x:t>
    </x:r>
  </x:si>
  <x:si>
    <x:r>
      <x:t>9/20(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</x:si>
  <x:si>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t>대청호 마라톤</x:t>
  </x:si>
  <x:si>
    <x:r>
      <x:t>※ 전체 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(km)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+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+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달리기 자동 합산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(SUM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).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회색 칸은 코스가 아직 확인되지 않아 합산에서 제외됨</x:t>
    </x:r>
  </x:si>
  <x:si>
    <x:t>대회명</x:t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</x:si>
  <x:si>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</x:si>
  <x:si>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t>마라톤</x:t>
  </x:si>
  <x:si>
    <x:t>월</x:t>
  </x:si>
  <x:si>
    <x:t>초급</x:t>
  </x:si>
  <x:si>
    <x:r>
      <x:t>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</x:si>
  <x:si>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r>
      <x:t>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</x:si>
  <x:si>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</x:si>
  <x:si>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t>풀코스</x:t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</x:si>
  <x:si>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</x:si>
  <x:si>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t>상급</x:t>
  </x:si>
  <x:si>
    <x:t>중급</x:t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</x:si>
  <x:si>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</x:si>
  <x:si>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r>
      <x:t>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</x:si>
  <x:si>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r>
      <x:t>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</x:si>
  <x:si>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r>
      <x:t>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월</x:t>
    </x:r>
  </x:si>
  <x:si>
    <x:t>킹코스</x:t>
  </x:si>
  <x:si>
    <x:r>
      <x:t>회원들끼리 대회 참가 계획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666666"/>
            <x:i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666666"/>
            <x:i val="1"/>
          </x:rPr>
        </mc:Fallback>
      </mc:AlternateContent>
      <x:t>실적을 공유하는 표 — 회색 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666666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666666"/>
            <x:i val="1"/>
          </x:rPr>
        </mc:Fallback>
      </mc:AlternateContent>
      <x:t>참가자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666666"/>
            <x:i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666666"/>
            <x:i val="1"/>
          </x:rPr>
        </mc:Fallback>
      </mc:AlternateContent>
      <x:t>거리 미입력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666666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666666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666666"/>
            <x:i val="1"/>
          </x:rPr>
        </mc:Fallback>
      </mc:AlternateContent>
      <x:t>은 확인되는 대로 채워넣기</x:t>
    </x:r>
  </x:si>
  <x:si>
    <x:r>
      <x:t xml:space="preserve">※ 제주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풀 마라톤은 매일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42.195km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일 반복하는 대회라 전체 거리를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42.195×4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로 계산</x:t>
    </x:r>
  </x:si>
  <x:si>
    <x:t>참가자</x:t>
  </x:si>
  <x:si>
    <x:t>분류</x:t>
  </x:si>
  <x:si>
    <x:t>날짜</x:t>
  </x:si>
  <x:si>
    <x:t>김창수</x:t>
  </x:si>
  <x:si>
    <x:t>수영</x:t>
  </x:si>
  <x:si>
    <x:t>하프</x:t>
  </x:si>
  <x:si>
    <x:t>김덕겸</x:t>
  </x:si>
  <x:si>
    <x:t>이성현</x:t>
  </x:si>
  <x:si>
    <x:t>빈태욱</x:t>
  </x:si>
  <x:si>
    <x:t>신재광</x:t>
  </x:si>
  <x:si>
    <x:t>김성기</x:t>
  </x:si>
  <x:si>
    <x:t>서정수</x:t>
  </x:si>
  <x:si>
    <x:t>이진협</x:t>
  </x:si>
  <x:si>
    <x:t>최이나</x:t>
  </x:si>
  <x:si>
    <x:r>
      <x:t>이성현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성규동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장원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박진희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조영우</x:t>
    </x:r>
  </x:si>
  <x:si>
    <x:r>
      <x:t>1.5(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수영</x:t>
    </x:r>
    <x:r>
      <x:rPr>
        <x:rFont val="Arial"/>
        <x:sz val="10"/>
        <x:color rgb="ff000000"/>
      </x:rPr>
      <x:t>)+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 xml:space="preserve">스카이런 </x:t>
    </x:r>
    <x:r>
      <x:rPr>
        <x:rFont val="Arial"/>
        <x:sz val="10"/>
        <x:color rgb="ff000000"/>
      </x:rPr>
      <x:t>2,917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계단</x:t>
    </x:r>
  </x:si>
  <x:si>
    <x:r>
      <x:t>코스 정보 확인 불가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직접 확인 필요</x:t>
    </x:r>
    <x:r>
      <x:rPr>
        <x:rFont val="Arial"/>
        <x:sz val="10"/>
        <x:color rgb="ff000000"/>
      </x:rPr>
      <x:t>)</x:t>
    </x:r>
  </x:si>
  <x:si>
    <x:r>
      <x:t>김재산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김덕겸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김창수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조영우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박성일</x:t>
    </x:r>
  </x:si>
  <x:si>
    <x:t>※ 남해 한국철인 코스 정보는 웹 검색으로 확인되지 않아 공란 — 직접 확인 필요</x:t>
  </x:si>
  <x:si>
    <x:r>
      <x:t>※ 롯데아쿠아슬론은 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+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롯데월드타워 스카이런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(2,917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계단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조합이라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km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로 환산 안 되는 구간이 있어 전체 거리를 텍스트로 표기</x:t>
    </x:r>
  </x:si>
  <x:si>
    <x:r>
      <x:t>10/18(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</x:si>
  <x:si>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r>
      <x:t>10/24(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토</x:t>
    </x:r>
    <x:r>
      <x:rPr>
        <x:rFont val="Arial"/>
        <x:sz val="10"/>
        <x:color rgb="ff000000"/>
      </x:rPr>
      <x:t>)</x:t>
    </x:r>
  </x:si>
  <x:si>
    <x:t>네이버웍스 세종런</x:t>
  </x:si>
  <x:si>
    <x:r>
      <x:t>그란폰도</x:t>
    </x:r>
    <x:r>
      <x:rPr>
        <x:rFont val="Arial"/>
        <x:sz val="10"/>
        <x:color rgb="ff000000"/>
      </x:rPr>
      <x:t>120km/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메디오폰도</x:t>
    </x:r>
    <x:r>
      <x:rPr>
        <x:rFont val="Arial"/>
        <x:sz val="10"/>
        <x:color rgb="ff000000"/>
      </x:rPr>
      <x:t>64km(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구간 미확인</x:t>
    </x:r>
    <x:r>
      <x:rPr>
        <x:rFont val="Arial"/>
        <x:sz val="10"/>
        <x:color rgb="ff000000"/>
      </x:rPr>
      <x:t>)</x:t>
    </x:r>
  </x:si>
  <x:si>
    <x:r>
      <x:t>하프코스</x:t>
    </x:r>
    <x:r>
      <x:rPr>
        <x:rFont val="Arial"/>
        <x:sz val="10"/>
        <x:color rgb="ff000000"/>
      </x:rPr>
      <x:t xml:space="preserve">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런</x:t>
    </x:r>
    <x:r>
      <x:rPr>
        <x:rFont val="Arial"/>
        <x:sz val="10"/>
        <x:color rgb="ff000000"/>
      </x:rPr>
      <x:t>2→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자전거</x:t>
    </x:r>
    <x:r>
      <x:rPr>
        <x:rFont val="Arial"/>
        <x:sz val="10"/>
        <x:color rgb="ff000000"/>
      </x:rPr>
      <x:t>90→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런</x:t>
    </x:r>
    <x:r>
      <x:rPr>
        <x:rFont val="Arial"/>
        <x:sz val="10"/>
        <x:color rgb="ff000000"/>
      </x:rPr>
      <x:t>21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수영없음</x:t>
    </x:r>
    <x:r>
      <x:rPr>
        <x:rFont val="Arial"/>
        <x:sz val="10"/>
        <x:color rgb="ff000000"/>
      </x:rPr>
      <x:t>)</x:t>
    </x:r>
  </x:si>
  <x:si>
    <x:r>
      <x:t>※ 그란폰도 대회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문경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진안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양평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빙그레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는 코스가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개 이상이라 회원이 실제 뛴 구간을 몰라 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(km)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를 비워둠 — 확인되면 숫자로 채우면 전체 거리도 자동 계산됨</x:t>
    </x:r>
  </x:si>
  <x:si>
    <x:r>
      <x:t>그란폰도</x:t>
    </x:r>
    <x:r>
      <x:rPr>
        <x:rFont val="Arial"/>
        <x:sz val="10"/>
        <x:color rgb="ff000000"/>
      </x:rPr>
      <x:t>152km/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메디오폰도</x:t>
    </x:r>
    <x:r>
      <x:rPr>
        <x:rFont val="Arial"/>
        <x:sz val="10"/>
        <x:color rgb="ff000000"/>
      </x:rPr>
      <x:t>107km(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구간 미확인</x:t>
    </x:r>
    <x:r>
      <x:rPr>
        <x:rFont val="Arial"/>
        <x:sz val="10"/>
        <x:color rgb="ff000000"/>
      </x:rPr>
      <x:t>)</x:t>
    </x:r>
  </x:si>
  <x:si>
    <x:r>
      <x:t>챌린지</x:t>
    </x:r>
    <x:r>
      <x:rPr>
        <x:rFont val="Arial"/>
        <x:sz val="10"/>
        <x:color rgb="ff000000"/>
      </x:rPr>
      <x:t>47.14km/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그란폰도</x:t>
    </x:r>
    <x:r>
      <x:rPr>
        <x:rFont val="Arial"/>
        <x:sz val="10"/>
        <x:color rgb="ff000000"/>
      </x:rPr>
      <x:t>93.8km(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구간 미확인</x:t>
    </x:r>
    <x:r>
      <x:rPr>
        <x:rFont val="Arial"/>
        <x:sz val="10"/>
        <x:color rgb="ff000000"/>
      </x:rPr>
      <x:t>)</x:t>
    </x:r>
  </x:si>
  <x:si>
    <x:r>
      <x:t>그란폰도</x:t>
    </x:r>
    <x:r>
      <x:rPr>
        <x:rFont val="Arial"/>
        <x:sz val="10"/>
        <x:color rgb="ff000000"/>
      </x:rPr>
      <x:t>126km/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메디오폰도</x:t>
    </x:r>
    <x:r>
      <x:rPr>
        <x:rFont val="Arial"/>
        <x:sz val="10"/>
        <x:color rgb="ff000000"/>
      </x:rPr>
      <x:t>91.48km(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구간 미확인</x:t>
    </x:r>
    <x:r>
      <x:rPr>
        <x:rFont val="Arial"/>
        <x:sz val="10"/>
        <x:color rgb="ff000000"/>
      </x:rPr>
      <x:t>)</x:t>
    </x:r>
  </x:si>
  <x:si>
    <x:r>
      <x:t>곽승철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유수영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김봉수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박민규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김성기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최석태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하성우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정현장</x:t>
    </x:r>
  </x:si>
  <x:si>
    <x:r>
      <x:t>아쿠아슬론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자전거없음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 xml:space="preserve">달리기 대신 스카이런 </x:t>
    </x:r>
    <x:r>
      <x:rPr>
        <x:rFont val="Arial"/>
        <x:sz val="10"/>
        <x:color rgb="ff000000"/>
      </x:rPr>
      <x:t>2,917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계단</x:t>
    </x:r>
    <x:r>
      <x:rPr>
        <x:rFont val="Arial"/>
        <x:sz val="10"/>
        <x:color rgb="ff000000"/>
      </x:rPr>
      <x:t>)</x:t>
    </x:r>
  </x:si>
  <x:si>
    <x:r>
      <x:t>조영우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김봉수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최석태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신재광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장원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이성현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김재산</x:t>
    </x:r>
  </x:si>
  <x:si>
    <x:r>
      <x:t>※ 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(km)/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(km)/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달리기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(km)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는 해당 종목이 있는 경우에만 기록 — 마라톤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트레일러닝은 달리기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그란폰도는 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수영대회는 수영 칸에 거리 기록</x:t>
    </x:r>
  </x:si>
  <x:si>
    <x:r>
      <x:t>10/11(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</x:t>
    </x:r>
    <x:r>
      <x:rPr>
        <x:rFont val="Arial"/>
        <x:sz val="10"/>
        <x:color rgb="ff000000"/>
      </x:rPr>
      <x:t>)</x:t>
    </x:r>
  </x:si>
  <x:si>
    <x:t>빙그레 그란폰도</x:t>
  </x:si>
  <x:si>
    <x:r>
      <x:t>박민규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강수미</x:t>
    </x:r>
  </x:si>
  <x:si>
    <x:r>
      <x:t>이주비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곽승철</x:t>
    </x:r>
  </x:si>
  <x:si>
    <x:r>
      <x:t>남승현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송부자</x:t>
    </x:r>
  </x:si>
  <x:si>
    <x:r>
      <x:t xml:space="preserve">100km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단일부문</x:t>
    </x:r>
  </x:si>
  <x:si>
    <x:r>
      <x:t>정현장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하성우</x:t>
    </x:r>
  </x:si>
  <x:si>
    <x:t>청남대울트라마라톤</x:t>
  </x:si>
  <x:si>
    <x:r>
      <x:t>생활체육축전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통영</x:t>
    </x:r>
    <x:r>
      <x:rPr>
        <x:rFont val="Arial"/>
        <x:sz val="10"/>
        <x:color rgb="ff000000"/>
      </x:rPr>
      <x:t>)</x:t>
    </x:r>
  </x:si>
  <x:si>
    <x:r>
      <x:t>김재산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원강연</x:t>
    </x:r>
  </x:si>
  <x:si>
    <x:r>
      <x:t>곽승철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김진환</x:t>
    </x:r>
  </x:si>
  <x:si>
    <x:r>
      <x:t>철인하프</x:t>
    </x:r>
    <x:r>
      <x:rPr>
        <x:rFont val="Arial"/>
        <x:sz val="10"/>
        <x:color rgb="ff000000"/>
      </x:rPr>
      <x:t>(70.3)</x:t>
    </x:r>
  </x:si>
  <x:si>
    <x:r>
      <x:t>한강쉬엄쉬엄 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</x:t>
    </x:r>
  </x:si>
  <x:si>
    <x:t>영산강 듀애슬론</x:t>
  </x:si>
  <x:si>
    <x:r>
      <x:t>※ 표준 코스 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킹코스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=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3.8/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180/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달리기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42.195,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하프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(70.3)=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1.9/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90/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달리기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 xml:space="preserve">21.0975,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올림픽코스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=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1.5/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자전거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40/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달리기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10</x:t>
    </x:r>
  </x:si>
  <x:si>
    <x:r>
      <x:t>※ 한강쉬엄쉬엄 철인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종은 초급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중급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상급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 xml:space="preserve">단계로 운영 — 회원이 어느 단계로 참가할지 미정이라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999999"/>
            <x:i val="1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999999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999999"/>
            <x:i val="1"/>
          </x:rPr>
        </mc:Fallback>
      </mc:AlternateContent>
      <x:t>행으로 나눠둠</x:t>
    </x:r>
  </x:si>
  <x:si>
    <x:t>롯데아쿠아슬론대회</x:t>
  </x:si>
  <x:si>
    <x:r>
      <x:t>곽비룡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전찬규</x:t>
    </x:r>
  </x:si>
  <x:si>
    <x:t>장수트레일레이스</x:t>
  </x:si>
  <x:si>
    <x:t>금강울트라마라톤</x:t>
  </x:si>
  <x:si>
    <x:r>
      <x:t>제</x:t>
    </x:r>
    <x:r>
      <x:rPr>
        <x:rFont val="Arial"/>
        <x:sz val="10"/>
        <x:color rgb="ff000000"/>
      </x:rPr>
      <x:t>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회 울트라수영대회</x:t>
    </x:r>
  </x:si>
  <x:si>
    <x:r>
      <x:t>전체 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ff"/>
            <x:b val="1"/>
          </x:rPr>
        </mc:Fallback>
      </mc:AlternateContent>
      <x:t>(km)</x:t>
    </x:r>
  </x:si>
  <x:si>
    <x: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  <x:i val="1"/>
          </x:rPr>
        </mc:Fallback>
      </mc:AlternateContent>
      <x:t>참가자 입력 예정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i val="1"/>
          </x:rPr>
        </mc:Fallback>
      </mc:AlternateContent>
      <x:t>)</x:t>
    </x:r>
  </x:si>
  <x:si>
    <x:r>
      <x:t>김민수</x:t>
    </x:r>
    <x:r>
      <x:rPr>
        <x:rFont val="Arial"/>
        <x:sz val="10"/>
        <x:color rgb="ff000000"/>
      </x:rPr>
      <x:t xml:space="preserve">B,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신광현</x:t>
    </x:r>
  </x:si>
  <x:si>
    <x:t>라바레도 울트라 트레일</x:t>
  </x:si>
  <x:si>
    <x:r>
      <x:t xml:space="preserve">Victory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</x:t>
    </x:r>
  </x:si>
  <x:si>
    <x:r>
      <x:t xml:space="preserve">고성 아이언맨 </x:t>
    </x:r>
    <x:r>
      <x:rPr>
        <x:rFont val="Arial"/>
        <x:sz val="10"/>
        <x:color rgb="ff000000"/>
      </x:rPr>
      <x:t>70.3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대회</x:t>
    </x:r>
  </x:si>
  <x:si>
    <x:r>
      <x:t>정남진 장흥 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종대회</x:t>
    </x:r>
  </x:si>
  <x:si>
    <x:t>제주 블랙야크 트레일런</x:t>
  </x:si>
  <x:si>
    <x:r>
      <x:t>대구시장배 전국 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종대회</x:t>
    </x:r>
  </x:si>
  <x:si>
    <x:r>
      <x:t>영산강 킹코스 철인</x:t>
    </x:r>
    <x:r>
      <x:rPr>
        <x:rFont val="Arial"/>
        <x:sz val="10"/>
        <x:color rgb="ff000000"/>
      </x:rP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종</x:t>
    </x:r>
  </x:si>
  <x:si>
    <x:t>미야코지마 스트롱맨대회</x:t>
  </x:si>
  <x:si>
    <x:r>
      <x:t>조영우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이진협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곽비룡</x:t>
    </x:r>
  </x:si>
  <x:si>
    <x:r>
      <x:t>100km/50km/3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인계주</x:t>
    </x:r>
    <x:r>
      <x:rPr>
        <x:rFont val="Arial"/>
        <x:sz val="10"/>
        <x:color rgb="ff000000"/>
      </x:rPr>
      <x:t xml:space="preserve">100km(29+30+41km)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중 확인 필요</x:t>
    </x:r>
  </x:si>
  <x:si>
    <x:r>
      <x:t>매일 풀코스</x:t>
    </x:r>
    <x:r>
      <x:rPr>
        <x:rFont val="Arial"/>
        <x:sz val="10"/>
        <x:color rgb="ff000000"/>
      </x:rPr>
      <x:t xml:space="preserve">(42.195km)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반복</x:t>
    </x:r>
  </x:si>
  <x:si>
    <x:r>
      <x:t xml:space="preserve">제주 </x:t>
    </x:r>
    <x:r>
      <x:rPr>
        <x:rFont val="Arial"/>
        <x:sz val="10"/>
        <x:color rgb="ff000000"/>
      </x:rP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 xml:space="preserve">풀 마라톤 </x:t>
    </x:r>
    <x:r>
      <x:rPr>
        <x:rFont val="Arial"/>
        <x:sz val="10"/>
        <x:color rgb="ff000000"/>
      </x:rPr>
      <x:t>(4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0"/>
            <x:color rgb="ff000000"/>
          </x:rPr>
        </mc:Fallback>
      </mc:AlternateContent>
      <x:t>일연속</x:t>
    </x:r>
    <x:r>
      <x:rPr>
        <x:rFont val="Arial"/>
        <x:sz val="10"/>
        <x:color rgb="ff000000"/>
      </x:rPr>
      <x:t>)</x:t>
    </x:r>
  </x:si>
  <x:si>
    <x:r>
      <x:t xml:space="preserve">2026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4"/>
            <x:color rgb="ff000000"/>
            <x:b val="1"/>
          </x:rPr>
        </mc:Fallback>
      </mc:AlternateContent>
      <x:t>세철 회원 대회참가 현황</x:t>
    </x:r>
  </x:si>
  <x:si>
    <x:t>창원 마산만 전국 트라이애슬론대회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</x:si>
</x:sst>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General"/>
    <x:numFmt numFmtId="165" formatCode="General"/>
  </x:numFmts>
  <x:fonts count="23"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1"/>
          <x:color rgb="ffffffff"/>
          <x:b val="1"/>
        </x:font>
      </mc:Fallback>
    </mc:AlternateConte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Noto Sans CJK SC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9"/>
          <x:color rgb="ff999999"/>
          <x:i val="1"/>
          <hs:size val="100"/>
          <hs:ratio val="100"/>
          <hs:spacing val="0"/>
          <hs:offset val="0"/>
        </x:font>
      </mc:Choice>
      <mc:Fallback>
        <x:font>
          <x:name val="Noto Sans CJK SC"/>
          <x:sz val="9"/>
          <x:color rgb="ff999999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9"/>
          <x:color rgb="ff666666"/>
          <x:i val="1"/>
          <hs:size val="100"/>
          <hs:ratio val="100"/>
          <hs:spacing val="0"/>
          <hs:offset val="0"/>
        </x:font>
      </mc:Choice>
      <mc:Fallback>
        <x:font>
          <x:name val="Noto Sans CJK SC"/>
          <x:sz val="9"/>
          <x:color rgb="ff666666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999999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999999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666666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666666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4"/>
          <x:color rgb="ff000000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1f4e78"/>
        <x:bgColor rgb="ff003366"/>
      </x:patternFill>
    </x:fill>
    <x:fill>
      <x:patternFill patternType="solid">
        <x:fgColor rgb="ffd0e0e3"/>
        <x:bgColor rgb="ffcfe2f3"/>
      </x:patternFill>
    </x:fill>
    <x:fill>
      <x:patternFill patternType="solid">
        <x:fgColor rgb="fffce5cd"/>
        <x:bgColor rgb="fffff2cc"/>
      </x:patternFill>
    </x:fill>
    <x:fill>
      <x:patternFill patternType="solid">
        <x:fgColor rgb="fff3f3f3"/>
        <x:bgColor rgb="ffffffff"/>
      </x:patternFill>
    </x:fill>
    <x:fill>
      <x:patternFill patternType="solid">
        <x:fgColor rgb="ffcfe2f3"/>
        <x:bgColor rgb="ffd0e0e3"/>
      </x:patternFill>
    </x:fill>
    <x:fill>
      <x:patternFill patternType="solid">
        <x:fgColor rgb="ffd9ead3"/>
        <x:bgColor rgb="ffd0e0e3"/>
      </x:patternFill>
    </x:fill>
    <x:fill>
      <x:patternFill patternType="solid">
        <x:fgColor rgb="ffead1dc"/>
        <x:bgColor rgb="ffd0e0e3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>
      <x:alignment horizontal="general" vertical="center"/>
    </x:xf>
  </x:cellStyleXfs>
  <x:cellXfs count="30">
    <x:xf numFmtId="164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2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3" borderId="1" xfId="0" applyFont="1" applyBorder="1" applyAlignment="1">
          <x:alignment horizontal="center" vertical="center"/>
        </x:xf>
      </mc:Fallback>
    </mc:AlternateContent>
    <x:xf numFmtId="164" fontId="8" fillId="0" borderId="1" xfId="0" applyFont="1" applyBorder="1" applyAlignment="1">
      <x:alignment horizontal="left" vertical="center"/>
    </x:xf>
    <x:xf numFmtId="164" fontId="7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5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" xfId="0" applyFont="1" applyBorder="1" applyAlignment="1">
          <x:alignment horizontal="center" vertical="center"/>
        </x:xf>
      </mc:Fallback>
    </mc:AlternateContent>
    <x:xf numFmtId="164" fontId="8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8" fillId="4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4" borderId="1" xfId="0" applyFont="1" applyBorder="1" applyAlignment="1">
          <x:alignment horizontal="center" vertical="center"/>
        </x:xf>
      </mc:Fallback>
    </mc:AlternateContent>
    <x:xf numFmtId="164" fontId="10" fillId="5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10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5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6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7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7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8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8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6" borderId="1" xfId="0" applyFont="1" applyBorder="1" applyAlignment="1">
          <x:alignment horizontal="center" vertical="center"/>
        </x:xf>
      </mc:Fallback>
    </mc:AlternateContent>
    <x:xf numFmtId="164" fontId="7" fillId="0" borderId="1" xfId="0" applyFont="1" applyBorder="1" applyAlignment="1">
      <x:alignment horizontal="left" vertical="center"/>
    </x:xf>
    <x:xf numFmtId="164" fontId="11" fillId="0" borderId="0" xfId="0" applyFont="1">
      <x:alignment horizontal="general" vertical="bottom"/>
    </x:xf>
    <x:xf numFmtId="164" fontId="12" fillId="6" borderId="1" xfId="0" applyFont="1" applyBorder="1">
      <x:alignment horizontal="general" vertical="bottom"/>
    </x:xf>
    <x:xf numFmtId="164" fontId="12" fillId="7" borderId="1" xfId="0" applyFont="1" applyBorder="1">
      <x:alignment horizontal="general" vertical="bottom"/>
    </x:xf>
    <x:xf numFmtId="164" fontId="12" fillId="4" borderId="1" xfId="0" applyFont="1" applyBorder="1">
      <x:alignment horizontal="general" vertical="bottom"/>
    </x:xf>
    <x:xf numFmtId="164" fontId="12" fillId="8" borderId="1" xfId="0" applyFont="1" applyBorder="1">
      <x:alignment horizontal="general" vertical="bottom"/>
    </x:xf>
    <x:xf numFmtId="164" fontId="12" fillId="3" borderId="1" xfId="0" applyFont="1" applyBorder="1">
      <x:alignment horizontal="general" vertical="bottom"/>
    </x:xf>
    <x:xf numFmtId="164" fontId="13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4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4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5" fillId="0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5" fillId="0" borderId="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4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4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6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8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8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7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7" borderId="1" xfId="0" applyFont="1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58"/>
  <x:sheetViews>
    <x:sheetView tabSelected="1" topLeftCell="A1" zoomScaleNormal="75" zoomScaleSheetLayoutView="100" workbookViewId="0">
      <x:pane xSplit="0" ySplit="4" topLeftCell="A5" activePane="bottomLeft" state="frozen"/>
      <x:selection pane="bottomLeft" activeCell="A1" activeCellId="0" sqref="A1:A1"/>
    </x:sheetView>
  </x:sheetViews>
  <x:sheetFormatPr defaultColWidth="8.6796875" defaultRowHeight="14.19999999999999928946"/>
  <x:cols>
    <x:col min="1" max="1" width="6" customWidth="1"/>
    <x:col min="2" max="2" width="12" customWidth="1"/>
    <x:col min="3" max="3" width="11" customWidth="1"/>
    <x:col min="4" max="4" width="26" customWidth="1"/>
    <x:col min="5" max="5" width="30" customWidth="1"/>
    <x:col min="6" max="6" width="9" customWidth="1"/>
    <x:col min="7" max="8" width="10" customWidth="1"/>
    <x:col min="9" max="9" width="13" customWidth="1"/>
    <x:col min="10" max="10" width="38" customWidth="1"/>
  </x:cols>
  <x:sheetData>
    <x:row r="1" spans="1:10" ht="24" customHeight="1">
      <x:c r="A1" s="23" t="s">
        <x:v>147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spans="1:10">
      <x:c r="A2" s="24" t="s">
        <x:v>76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spans="1:10" ht="30" customHeight="1">
      <x:c r="A4" s="1" t="s">
        <x:v>62</x:v>
      </x:c>
      <x:c r="B4" s="1" t="s">
        <x:v>80</x:v>
      </x:c>
      <x:c r="C4" s="1" t="s">
        <x:v>79</x:v>
      </x:c>
      <x:c r="D4" s="1" t="s">
        <x:v>59</x:v>
      </x:c>
      <x:c r="E4" s="1" t="s">
        <x:v>7</x:v>
      </x:c>
      <x:c r="F4" s="1" t="s">
        <x:v>15</x:v>
      </x:c>
      <x:c r="G4" s="1" t="s">
        <x:v>21</x:v>
      </x:c>
      <x:c r="H4" s="1" t="s">
        <x:v>14</x:v>
      </x:c>
      <x:c r="I4" s="1" t="s">
        <x:v>132</x:v>
      </x:c>
      <x:c r="J4" s="1" t="s">
        <x:v>78</x:v>
      </x:c>
    </x:row>
    <x:row r="5" spans="1:10">
      <x:c r="A5" s="25" t="s">
        <x:v>60</x:v>
      </x:c>
      <x:c r="B5" s="2" t="s">
        <x:v>16</x:v>
      </x:c>
      <x:c r="C5" s="3" t="s">
        <x:v>82</x:v>
      </x:c>
      <x:c r="D5" s="4" t="s">
        <x:v>131</x:v>
      </x:c>
      <x:c r="E5" s="5"/>
      <x:c r="F5" s="2">
        <x:v>10</x:v>
      </x:c>
      <x:c r="G5" s="2"/>
      <x:c r="H5" s="2"/>
      <x:c r="I5" s="6">
        <x:f>SUM(F5:H5)</x:f>
        <x:v>10</x:v>
      </x:c>
      <x:c r="J5" s="7" t="s">
        <x:v>134</x:v>
      </x:c>
    </x:row>
    <x:row r="6" spans="1:10">
      <x:c r="A6" s="25"/>
      <x:c r="B6" s="2" t="s">
        <x:v>5</x:v>
      </x:c>
      <x:c r="C6" s="8" t="s">
        <x:v>61</x:v>
      </x:c>
      <x:c r="D6" s="4" t="s">
        <x:v>146</x:v>
      </x:c>
      <x:c r="E6" s="7" t="s">
        <x:v>145</x:v>
      </x:c>
      <x:c r="F6" s="2"/>
      <x:c r="G6" s="2"/>
      <x:c r="H6" s="2">
        <x:v>42.195</x:v>
      </x:c>
      <x:c r="I6" s="6">
        <x:f>42.195*4</x:f>
        <x:v>168.78</x:v>
      </x:c>
      <x:c r="J6" s="9" t="s">
        <x:v>133</x:v>
      </x:c>
    </x:row>
    <x:row r="7" spans="1:10" ht="26.35000000000000142109">
      <x:c r="A7" s="26" t="s">
        <x:v>66</x:v>
      </x:c>
      <x:c r="B7" s="2" t="s">
        <x:v>24</x:v>
      </x:c>
      <x:c r="C7" s="8" t="s">
        <x:v>61</x:v>
      </x:c>
      <x:c r="D7" s="4" t="s">
        <x:v>130</x:v>
      </x:c>
      <x:c r="E7" s="5" t="s">
        <x:v>144</x:v>
      </x:c>
      <x:c r="F7" s="2"/>
      <x:c r="G7" s="2"/>
      <x:c r="H7" s="10"/>
      <x:c r="I7" s="10"/>
      <x:c r="J7" s="9" t="s">
        <x:v>133</x:v>
      </x:c>
    </x:row>
    <x:row r="8" spans="1:10" ht="26.35000000000000142109">
      <x:c r="A8" s="26"/>
      <x:c r="B8" s="2" t="s">
        <x:v>13</x:v>
      </x:c>
      <x:c r="C8" s="11" t="s">
        <x:v>11</x:v>
      </x:c>
      <x:c r="D8" s="4" t="s">
        <x:v>124</x:v>
      </x:c>
      <x:c r="E8" s="7" t="s">
        <x:v>102</x:v>
      </x:c>
      <x:c r="F8" s="2">
        <x:v>0</x:v>
      </x:c>
      <x:c r="G8" s="2">
        <x:v>90</x:v>
      </x:c>
      <x:c r="H8" s="2">
        <x:v>23</x:v>
      </x:c>
      <x:c r="I8" s="6">
        <x:f>SUM(F8:H8)</x:f>
        <x:v>113</x:v>
      </x:c>
      <x:c r="J8" s="9" t="s">
        <x:v>133</x:v>
      </x:c>
    </x:row>
    <x:row r="9" spans="1:10">
      <x:c r="A9" s="26" t="s">
        <x:v>71</x:v>
      </x:c>
      <x:c r="B9" s="2" t="s">
        <x:v>34</x:v>
      </x:c>
      <x:c r="C9" s="8" t="s">
        <x:v>61</x:v>
      </x:c>
      <x:c r="D9" s="4" t="s">
        <x:v>118</x:v>
      </x:c>
      <x:c r="E9" s="5" t="s">
        <x:v>116</x:v>
      </x:c>
      <x:c r="F9" s="2"/>
      <x:c r="G9" s="2"/>
      <x:c r="H9" s="2">
        <x:v>100</x:v>
      </x:c>
      <x:c r="I9" s="6">
        <x:f>SUM(F9:H9)</x:f>
        <x:v>100</x:v>
      </x:c>
      <x:c r="J9" s="9" t="s">
        <x:v>133</x:v>
      </x:c>
    </x:row>
    <x:row r="10" spans="1:10">
      <x:c r="A10" s="26"/>
      <x:c r="B10" s="2" t="s">
        <x:v>35</x:v>
      </x:c>
      <x:c r="C10" s="11" t="s">
        <x:v>11</x:v>
      </x:c>
      <x:c r="D10" s="4" t="s">
        <x:v>142</x:v>
      </x:c>
      <x:c r="E10" s="7" t="s">
        <x:v>6</x:v>
      </x:c>
      <x:c r="F10" s="2">
        <x:v>3</x:v>
      </x:c>
      <x:c r="G10" s="2">
        <x:v>120</x:v>
      </x:c>
      <x:c r="H10" s="2">
        <x:v>42</x:v>
      </x:c>
      <x:c r="I10" s="6">
        <x:f>SUM(F10:H10)</x:f>
        <x:v>165</x:v>
      </x:c>
      <x:c r="J10" s="7" t="s">
        <x:v>117</x:v>
      </x:c>
    </x:row>
    <x:row r="11" spans="1:10">
      <x:c r="A11" s="26"/>
      <x:c r="B11" s="2" t="s">
        <x:v>40</x:v>
      </x:c>
      <x:c r="C11" s="12" t="s">
        <x:v>17</x:v>
      </x:c>
      <x:c r="D11" s="4" t="s">
        <x:v>139</x:v>
      </x:c>
      <x:c r="E11" s="5" t="s">
        <x:v>18</x:v>
      </x:c>
      <x:c r="F11" s="2"/>
      <x:c r="G11" s="2"/>
      <x:c r="H11" s="2">
        <x:v>58</x:v>
      </x:c>
      <x:c r="I11" s="6">
        <x:f>SUM(F11:H11)</x:f>
        <x:v>58</x:v>
      </x:c>
      <x:c r="J11" s="7" t="s">
        <x:v>121</x:v>
      </x:c>
    </x:row>
    <x:row r="12" spans="1:10" ht="26.35000000000000142109">
      <x:c r="A12" s="26"/>
      <x:c r="B12" s="2" t="s">
        <x:v>40</x:v>
      </x:c>
      <x:c r="C12" s="13" t="s">
        <x:v>19</x:v>
      </x:c>
      <x:c r="D12" s="4" t="s">
        <x:v>9</x:v>
      </x:c>
      <x:c r="E12" s="7" t="s">
        <x:v>101</x:v>
      </x:c>
      <x:c r="F12" s="2"/>
      <x:c r="G12" s="10"/>
      <x:c r="H12" s="2"/>
      <x:c r="I12" s="10"/>
      <x:c r="J12" s="7" t="s">
        <x:v>81</x:v>
      </x:c>
    </x:row>
    <x:row r="13" spans="1:10">
      <x:c r="A13" s="26"/>
      <x:c r="B13" s="2" t="s">
        <x:v>47</x:v>
      </x:c>
      <x:c r="C13" s="11" t="s">
        <x:v>11</x:v>
      </x:c>
      <x:c r="D13" s="4" t="s">
        <x:v>119</x:v>
      </x:c>
      <x:c r="E13" s="7" t="s">
        <x:v>20</x:v>
      </x:c>
      <x:c r="F13" s="2">
        <x:v>1.5</x:v>
      </x:c>
      <x:c r="G13" s="2">
        <x:v>40</x:v>
      </x:c>
      <x:c r="H13" s="2">
        <x:v>10</x:v>
      </x:c>
      <x:c r="I13" s="6">
        <x:f>SUM(F13:H13)</x:f>
        <x:v>51.5</x:v>
      </x:c>
      <x:c r="J13" s="7" t="s">
        <x:v>120</x:v>
      </x:c>
    </x:row>
    <x:row r="14" spans="1:10">
      <x:c r="A14" s="27" t="s">
        <x:v>68</x:v>
      </x:c>
      <x:c r="B14" s="2" t="s">
        <x:v>4</x:v>
      </x:c>
      <x:c r="C14" s="11" t="s">
        <x:v>11</x:v>
      </x:c>
      <x:c r="D14" s="4" t="s">
        <x:v>148</x:v>
      </x:c>
      <x:c r="E14" s="7" t="s">
        <x:v>20</x:v>
      </x:c>
      <x:c r="F14" s="2">
        <x:v>1.5</x:v>
      </x:c>
      <x:c r="G14" s="2">
        <x:v>40</x:v>
      </x:c>
      <x:c r="H14" s="2">
        <x:v>10</x:v>
      </x:c>
      <x:c r="I14" s="6">
        <x:f>SUM(F14:H14)</x:f>
        <x:v>51.5</x:v>
      </x:c>
      <x:c r="J14" s="9" t="s">
        <x:v>133</x:v>
      </x:c>
    </x:row>
    <x:row r="15" spans="1:10">
      <x:c r="A15" s="27"/>
      <x:c r="B15" s="2" t="s">
        <x:v>1</x:v>
      </x:c>
      <x:c r="C15" s="11" t="s">
        <x:v>11</x:v>
      </x:c>
      <x:c r="D15" s="4" t="s">
        <x:v>140</x:v>
      </x:c>
      <x:c r="E15" s="7" t="s">
        <x:v>20</x:v>
      </x:c>
      <x:c r="F15" s="2">
        <x:v>1.5</x:v>
      </x:c>
      <x:c r="G15" s="2">
        <x:v>40</x:v>
      </x:c>
      <x:c r="H15" s="2">
        <x:v>10</x:v>
      </x:c>
      <x:c r="I15" s="6">
        <x:f>SUM(F15:H15)</x:f>
        <x:v>51.5</x:v>
      </x:c>
      <x:c r="J15" s="9" t="s">
        <x:v>133</x:v>
      </x:c>
    </x:row>
    <x:row r="16" spans="1:10">
      <x:c r="A16" s="27"/>
      <x:c r="B16" s="2" t="s">
        <x:v>3</x:v>
      </x:c>
      <x:c r="C16" s="11" t="s">
        <x:v>11</x:v>
      </x:c>
      <x:c r="D16" s="4" t="s">
        <x:v>138</x:v>
      </x:c>
      <x:c r="E16" s="7" t="s">
        <x:v>20</x:v>
      </x:c>
      <x:c r="F16" s="2">
        <x:v>1.5</x:v>
      </x:c>
      <x:c r="G16" s="2">
        <x:v>40</x:v>
      </x:c>
      <x:c r="H16" s="2">
        <x:v>10</x:v>
      </x:c>
      <x:c r="I16" s="6">
        <x:f>SUM(F16:H16)</x:f>
        <x:v>51.5</x:v>
      </x:c>
      <x:c r="J16" s="9" t="s">
        <x:v>133</x:v>
      </x:c>
    </x:row>
    <x:row r="17" spans="1:10">
      <x:c r="A17" s="27"/>
      <x:c r="B17" s="2" t="s">
        <x:v>48</x:v>
      </x:c>
      <x:c r="C17" s="11" t="s">
        <x:v>11</x:v>
      </x:c>
      <x:c r="D17" s="4" t="s">
        <x:v>23</x:v>
      </x:c>
      <x:c r="E17" s="7" t="s">
        <x:v>122</x:v>
      </x:c>
      <x:c r="F17" s="2">
        <x:v>1.8999999999999999</x:v>
      </x:c>
      <x:c r="G17" s="2">
        <x:v>90</x:v>
      </x:c>
      <x:c r="H17" s="2">
        <x:v>21.0975</x:v>
      </x:c>
      <x:c r="I17" s="6">
        <x:f>SUM(F17:H17)</x:f>
        <x:v>112.9975</x:v>
      </x:c>
      <x:c r="J17" s="7" t="s">
        <x:v>84</x:v>
      </x:c>
    </x:row>
    <x:row r="18" spans="1:10">
      <x:c r="A18" s="27" t="s">
        <x:v>72</x:v>
      </x:c>
      <x:c r="B18" s="2" t="s">
        <x:v>29</x:v>
      </x:c>
      <x:c r="C18" s="11" t="s">
        <x:v>11</x:v>
      </x:c>
      <x:c r="D18" s="4" t="s">
        <x:v>123</x:v>
      </x:c>
      <x:c r="E18" s="7" t="s">
        <x:v>63</x:v>
      </x:c>
      <x:c r="F18" s="2">
        <x:v>0.25</x:v>
      </x:c>
      <x:c r="G18" s="2">
        <x:v>10</x:v>
      </x:c>
      <x:c r="H18" s="2">
        <x:v>5</x:v>
      </x:c>
      <x:c r="I18" s="6">
        <x:f>SUM(F18:H18)</x:f>
        <x:v>15.25</x:v>
      </x:c>
      <x:c r="J18" s="9" t="s">
        <x:v>133</x:v>
      </x:c>
    </x:row>
    <x:row r="19" spans="1:10">
      <x:c r="A19" s="27"/>
      <x:c r="B19" s="2" t="s">
        <x:v>29</x:v>
      </x:c>
      <x:c r="C19" s="11" t="s">
        <x:v>11</x:v>
      </x:c>
      <x:c r="D19" s="4" t="s">
        <x:v>123</x:v>
      </x:c>
      <x:c r="E19" s="7" t="s">
        <x:v>70</x:v>
      </x:c>
      <x:c r="F19" s="2">
        <x:v>0.5</x:v>
      </x:c>
      <x:c r="G19" s="2">
        <x:v>15</x:v>
      </x:c>
      <x:c r="H19" s="2">
        <x:v>7</x:v>
      </x:c>
      <x:c r="I19" s="6">
        <x:f>SUM(F19:H19)</x:f>
        <x:v>22.5</x:v>
      </x:c>
      <x:c r="J19" s="9" t="s">
        <x:v>133</x:v>
      </x:c>
    </x:row>
    <x:row r="20" spans="1:10">
      <x:c r="A20" s="27"/>
      <x:c r="B20" s="2" t="s">
        <x:v>29</x:v>
      </x:c>
      <x:c r="C20" s="11" t="s">
        <x:v>11</x:v>
      </x:c>
      <x:c r="D20" s="4" t="s">
        <x:v>123</x:v>
      </x:c>
      <x:c r="E20" s="7" t="s">
        <x:v>69</x:v>
      </x:c>
      <x:c r="F20" s="2">
        <x:v>1</x:v>
      </x:c>
      <x:c r="G20" s="2">
        <x:v>20</x:v>
      </x:c>
      <x:c r="H20" s="2">
        <x:v>10</x:v>
      </x:c>
      <x:c r="I20" s="6">
        <x:f>SUM(F20:H20)</x:f>
        <x:v>31</x:v>
      </x:c>
      <x:c r="J20" s="9" t="s">
        <x:v>133</x:v>
      </x:c>
    </x:row>
    <x:row r="21" spans="1:10">
      <x:c r="A21" s="27"/>
      <x:c r="B21" s="2" t="s">
        <x:v>38</x:v>
      </x:c>
      <x:c r="C21" s="11" t="s">
        <x:v>11</x:v>
      </x:c>
      <x:c r="D21" s="4" t="s">
        <x:v>141</x:v>
      </x:c>
      <x:c r="E21" s="7" t="s">
        <x:v>75</x:v>
      </x:c>
      <x:c r="F21" s="2">
        <x:v>3.7999999999999998</x:v>
      </x:c>
      <x:c r="G21" s="2">
        <x:v>180</x:v>
      </x:c>
      <x:c r="H21" s="2">
        <x:v>42.195</x:v>
      </x:c>
      <x:c r="I21" s="6">
        <x:f>SUM(F21:H21)</x:f>
        <x:v>225.995</x:v>
      </x:c>
      <x:c r="J21" s="9" t="s">
        <x:v>133</x:v>
      </x:c>
    </x:row>
    <x:row r="22" spans="1:10">
      <x:c r="A22" s="27"/>
      <x:c r="B22" s="2" t="s">
        <x:v>2</x:v>
      </x:c>
      <x:c r="C22" s="11" t="s">
        <x:v>11</x:v>
      </x:c>
      <x:c r="D22" s="4" t="s">
        <x:v>137</x:v>
      </x:c>
      <x:c r="E22" s="5" t="s">
        <x:v>22</x:v>
      </x:c>
      <x:c r="F22" s="2">
        <x:v>1.8999999999999999</x:v>
      </x:c>
      <x:c r="G22" s="2">
        <x:v>90</x:v>
      </x:c>
      <x:c r="H22" s="2">
        <x:v>21.0975</x:v>
      </x:c>
      <x:c r="I22" s="6">
        <x:f>SUM(F22:H22)</x:f>
        <x:v>112.9975</x:v>
      </x:c>
      <x:c r="J22" s="9" t="s">
        <x:v>133</x:v>
      </x:c>
    </x:row>
    <x:row r="23" spans="1:10">
      <x:c r="A23" s="27"/>
      <x:c r="B23" s="2" t="s">
        <x:v>50</x:v>
      </x:c>
      <x:c r="C23" s="12" t="s">
        <x:v>17</x:v>
      </x:c>
      <x:c r="D23" s="4" t="s">
        <x:v>135</x:v>
      </x:c>
      <x:c r="E23" s="5" t="s">
        <x:v>25</x:v>
      </x:c>
      <x:c r="F23" s="2"/>
      <x:c r="G23" s="2"/>
      <x:c r="H23" s="2">
        <x:v>120</x:v>
      </x:c>
      <x:c r="I23" s="6">
        <x:f>SUM(F23:H23)</x:f>
        <x:v>120</x:v>
      </x:c>
      <x:c r="J23" s="7" t="s">
        <x:v>86</x:v>
      </x:c>
    </x:row>
    <x:row r="24" spans="1:10" ht="26.35000000000000142109">
      <x:c r="A24" s="14" t="s">
        <x:v>64</x:v>
      </x:c>
      <x:c r="B24" s="2" t="s">
        <x:v>8</x:v>
      </x:c>
      <x:c r="C24" s="11" t="s">
        <x:v>11</x:v>
      </x:c>
      <x:c r="D24" s="4" t="s">
        <x:v>127</x:v>
      </x:c>
      <x:c r="E24" s="7" t="s">
        <x:v>108</x:v>
      </x:c>
      <x:c r="F24" s="2">
        <x:v>1.5</x:v>
      </x:c>
      <x:c r="G24" s="2">
        <x:v>0</x:v>
      </x:c>
      <x:c r="H24" s="2"/>
      <x:c r="I24" s="2" t="s">
        <x:v>93</x:v>
      </x:c>
      <x:c r="J24" s="9" t="s">
        <x:v>133</x:v>
      </x:c>
    </x:row>
    <x:row r="25" spans="1:10">
      <x:c r="A25" s="14" t="s">
        <x:v>74</x:v>
      </x:c>
      <x:c r="B25" s="2" t="s">
        <x:v>41</x:v>
      </x:c>
      <x:c r="C25" s="11" t="s">
        <x:v>11</x:v>
      </x:c>
      <x:c r="D25" s="15" t="s">
        <x:v>136</x:v>
      </x:c>
      <x:c r="E25" s="7" t="s">
        <x:v>75</x:v>
      </x:c>
      <x:c r="F25" s="2">
        <x:v>3.7999999999999998</x:v>
      </x:c>
      <x:c r="G25" s="2">
        <x:v>180</x:v>
      </x:c>
      <x:c r="H25" s="2">
        <x:v>42.195</x:v>
      </x:c>
      <x:c r="I25" s="6">
        <x:f>SUM(F25:H25)</x:f>
        <x:v>225.995</x:v>
      </x:c>
      <x:c r="J25" s="7" t="s">
        <x:v>86</x:v>
      </x:c>
    </x:row>
    <x:row r="26" spans="1:10" ht="26.35000000000000142109">
      <x:c r="A26" s="28" t="s">
        <x:v>73</x:v>
      </x:c>
      <x:c r="B26" s="2" t="s">
        <x:v>46</x:v>
      </x:c>
      <x:c r="C26" s="13" t="s">
        <x:v>19</x:v>
      </x:c>
      <x:c r="D26" s="4" t="s">
        <x:v>12</x:v>
      </x:c>
      <x:c r="E26" s="7" t="s">
        <x:v>104</x:v>
      </x:c>
      <x:c r="F26" s="2"/>
      <x:c r="G26" s="10"/>
      <x:c r="H26" s="2"/>
      <x:c r="I26" s="10"/>
      <x:c r="J26" s="7" t="s">
        <x:v>109</x:v>
      </x:c>
    </x:row>
    <x:row r="27" spans="1:10">
      <x:c r="A27" s="28"/>
      <x:c r="B27" s="2" t="s">
        <x:v>30</x:v>
      </x:c>
      <x:c r="C27" s="8" t="s">
        <x:v>61</x:v>
      </x:c>
      <x:c r="D27" s="4" t="s">
        <x:v>10</x:v>
      </x:c>
      <x:c r="E27" s="5" t="s">
        <x:v>36</x:v>
      </x:c>
      <x:c r="F27" s="2"/>
      <x:c r="G27" s="2"/>
      <x:c r="H27" s="2">
        <x:v>10</x:v>
      </x:c>
      <x:c r="I27" s="6">
        <x:f>SUM(F27:H27)</x:f>
        <x:v>10</x:v>
      </x:c>
      <x:c r="J27" s="7" t="s">
        <x:v>128</x:v>
      </x:c>
    </x:row>
    <x:row r="28" spans="1:10">
      <x:c r="A28" s="28"/>
      <x:c r="B28" s="2" t="s">
        <x:v>43</x:v>
      </x:c>
      <x:c r="C28" s="11" t="s">
        <x:v>11</x:v>
      </x:c>
      <x:c r="D28" s="4" t="s">
        <x:v>32</x:v>
      </x:c>
      <x:c r="E28" s="7" t="s">
        <x:v>20</x:v>
      </x:c>
      <x:c r="F28" s="2">
        <x:v>1.5</x:v>
      </x:c>
      <x:c r="G28" s="2">
        <x:v>40</x:v>
      </x:c>
      <x:c r="H28" s="2">
        <x:v>10</x:v>
      </x:c>
      <x:c r="I28" s="6">
        <x:f>SUM(F28:H28)</x:f>
        <x:v>51.5</x:v>
      </x:c>
      <x:c r="J28" s="7" t="s">
        <x:v>95</x:v>
      </x:c>
    </x:row>
    <x:row r="29" spans="1:10">
      <x:c r="A29" s="28"/>
      <x:c r="B29" s="2" t="s">
        <x:v>44</x:v>
      </x:c>
      <x:c r="C29" s="12" t="s">
        <x:v>17</x:v>
      </x:c>
      <x:c r="D29" s="4" t="s">
        <x:v>129</x:v>
      </x:c>
      <x:c r="E29" s="5" t="s">
        <x:v>49</x:v>
      </x:c>
      <x:c r="F29" s="2"/>
      <x:c r="G29" s="2"/>
      <x:c r="H29" s="2">
        <x:v>40</x:v>
      </x:c>
      <x:c r="I29" s="6">
        <x:f>SUM(F29:H29)</x:f>
        <x:v>40</x:v>
      </x:c>
      <x:c r="J29" s="7" t="s">
        <x:v>113</x:v>
      </x:c>
    </x:row>
    <x:row r="30" spans="1:10">
      <x:c r="A30" s="28"/>
      <x:c r="B30" s="2" t="s">
        <x:v>44</x:v>
      </x:c>
      <x:c r="C30" s="12" t="s">
        <x:v>17</x:v>
      </x:c>
      <x:c r="D30" s="4" t="s">
        <x:v>129</x:v>
      </x:c>
      <x:c r="E30" s="5" t="s">
        <x:v>37</x:v>
      </x:c>
      <x:c r="F30" s="2"/>
      <x:c r="G30" s="2"/>
      <x:c r="H30" s="2">
        <x:v>100</x:v>
      </x:c>
      <x:c r="I30" s="6">
        <x:f>SUM(F30:H30)</x:f>
        <x:v>100</x:v>
      </x:c>
      <x:c r="J30" s="7" t="s">
        <x:v>114</x:v>
      </x:c>
    </x:row>
    <x:row r="31" spans="1:10">
      <x:c r="A31" s="28"/>
      <x:c r="B31" s="2" t="s">
        <x:v>44</x:v>
      </x:c>
      <x:c r="C31" s="12" t="s">
        <x:v>17</x:v>
      </x:c>
      <x:c r="D31" s="4" t="s">
        <x:v>129</x:v>
      </x:c>
      <x:c r="E31" s="5" t="s">
        <x:v>51</x:v>
      </x:c>
      <x:c r="F31" s="2"/>
      <x:c r="G31" s="2"/>
      <x:c r="H31" s="2">
        <x:v>160.90000000000001</x:v>
      </x:c>
      <x:c r="I31" s="6">
        <x:f>SUM(F31:H31)</x:f>
        <x:v>160.90000000000001</x:v>
      </x:c>
      <x:c r="J31" s="7" t="s">
        <x:v>85</x:v>
      </x:c>
    </x:row>
    <x:row r="32" spans="1:10">
      <x:c r="A32" s="28"/>
      <x:c r="B32" s="2" t="s">
        <x:v>56</x:v>
      </x:c>
      <x:c r="C32" s="8" t="s">
        <x:v>61</x:v>
      </x:c>
      <x:c r="D32" s="4" t="s">
        <x:v>42</x:v>
      </x:c>
      <x:c r="E32" s="7" t="s">
        <x:v>67</x:v>
      </x:c>
      <x:c r="F32" s="2"/>
      <x:c r="G32" s="2"/>
      <x:c r="H32" s="2">
        <x:v>42.195</x:v>
      </x:c>
      <x:c r="I32" s="6">
        <x:f>SUM(F32:H32)</x:f>
        <x:v>42.195</x:v>
      </x:c>
      <x:c r="J32" s="7" t="s">
        <x:v>90</x:v>
      </x:c>
    </x:row>
    <x:row r="33" spans="1:10">
      <x:c r="A33" s="28"/>
      <x:c r="B33" s="2" t="s">
        <x:v>56</x:v>
      </x:c>
      <x:c r="C33" s="8" t="s">
        <x:v>61</x:v>
      </x:c>
      <x:c r="D33" s="4" t="s">
        <x:v>42</x:v>
      </x:c>
      <x:c r="E33" s="5" t="s">
        <x:v>26</x:v>
      </x:c>
      <x:c r="F33" s="2"/>
      <x:c r="G33" s="2"/>
      <x:c r="H33" s="2">
        <x:v>32</x:v>
      </x:c>
      <x:c r="I33" s="6">
        <x:f>SUM(F33:H33)</x:f>
        <x:v>32</x:v>
      </x:c>
      <x:c r="J33" s="7" t="s">
        <x:v>88</x:v>
      </x:c>
    </x:row>
    <x:row r="34" spans="1:10">
      <x:c r="A34" s="28"/>
      <x:c r="B34" s="2" t="s">
        <x:v>56</x:v>
      </x:c>
      <x:c r="C34" s="8" t="s">
        <x:v>61</x:v>
      </x:c>
      <x:c r="D34" s="4" t="s">
        <x:v>42</x:v>
      </x:c>
      <x:c r="E34" s="7" t="s">
        <x:v>83</x:v>
      </x:c>
      <x:c r="F34" s="2"/>
      <x:c r="G34" s="2"/>
      <x:c r="H34" s="2">
        <x:v>21.0975</x:v>
      </x:c>
      <x:c r="I34" s="6">
        <x:f>SUM(F34:H34)</x:f>
        <x:v>21.0975</x:v>
      </x:c>
      <x:c r="J34" s="7" t="s">
        <x:v>115</x:v>
      </x:c>
    </x:row>
    <x:row r="35" spans="1:10">
      <x:c r="A35" s="29" t="s">
        <x:v>65</x:v>
      </x:c>
      <x:c r="B35" s="2" t="s">
        <x:v>39</x:v>
      </x:c>
      <x:c r="C35" s="12" t="s">
        <x:v>17</x:v>
      </x:c>
      <x:c r="D35" s="4" t="s">
        <x:v>31</x:v>
      </x:c>
      <x:c r="E35" s="5" t="s">
        <x:v>45</x:v>
      </x:c>
      <x:c r="F35" s="2"/>
      <x:c r="G35" s="2"/>
      <x:c r="H35" s="2">
        <x:v>20</x:v>
      </x:c>
      <x:c r="I35" s="6">
        <x:f>SUM(F35:H35)</x:f>
        <x:v>20</x:v>
      </x:c>
      <x:c r="J35" s="7" t="s">
        <x:v>91</x:v>
      </x:c>
    </x:row>
    <x:row r="36" spans="1:10">
      <x:c r="A36" s="29"/>
      <x:c r="B36" s="2" t="s">
        <x:v>53</x:v>
      </x:c>
      <x:c r="C36" s="11" t="s">
        <x:v>11</x:v>
      </x:c>
      <x:c r="D36" s="4" t="s">
        <x:v>27</x:v>
      </x:c>
      <x:c r="E36" s="7" t="s">
        <x:v>75</x:v>
      </x:c>
      <x:c r="F36" s="2">
        <x:v>3.7999999999999998</x:v>
      </x:c>
      <x:c r="G36" s="2">
        <x:v>180</x:v>
      </x:c>
      <x:c r="H36" s="2">
        <x:v>42.195</x:v>
      </x:c>
      <x:c r="I36" s="6">
        <x:f>SUM(F36:H36)</x:f>
        <x:v>225.995</x:v>
      </x:c>
      <x:c r="J36" s="7" t="s">
        <x:v>87</x:v>
      </x:c>
    </x:row>
    <x:row r="37" spans="1:10" ht="26.35000000000000142109">
      <x:c r="A37" s="29"/>
      <x:c r="B37" s="2" t="s">
        <x:v>52</x:v>
      </x:c>
      <x:c r="C37" s="13" t="s">
        <x:v>19</x:v>
      </x:c>
      <x:c r="D37" s="4" t="s">
        <x:v>28</x:v>
      </x:c>
      <x:c r="E37" s="7" t="s">
        <x:v>105</x:v>
      </x:c>
      <x:c r="F37" s="2"/>
      <x:c r="G37" s="10"/>
      <x:c r="H37" s="2"/>
      <x:c r="I37" s="10"/>
      <x:c r="J37" s="7" t="s">
        <x:v>89</x:v>
      </x:c>
    </x:row>
    <x:row r="38" spans="1:10" ht="26.35000000000000142109">
      <x:c r="A38" s="29"/>
      <x:c r="B38" s="2" t="s">
        <x:v>55</x:v>
      </x:c>
      <x:c r="C38" s="13" t="s">
        <x:v>19</x:v>
      </x:c>
      <x:c r="D38" s="4" t="s">
        <x:v>112</x:v>
      </x:c>
      <x:c r="E38" s="7" t="s">
        <x:v>106</x:v>
      </x:c>
      <x:c r="F38" s="2"/>
      <x:c r="G38" s="10"/>
      <x:c r="H38" s="2"/>
      <x:c r="I38" s="10"/>
      <x:c r="J38" s="7" t="s">
        <x:v>143</x:v>
      </x:c>
    </x:row>
    <x:row r="39" spans="1:10" ht="26.35000000000000142109">
      <x:c r="A39" s="29"/>
      <x:c r="B39" s="2" t="s">
        <x:v>111</x:v>
      </x:c>
      <x:c r="C39" s="11" t="s">
        <x:v>11</x:v>
      </x:c>
      <x:c r="D39" s="4" t="s">
        <x:v>33</x:v>
      </x:c>
      <x:c r="E39" s="7" t="s">
        <x:v>94</x:v>
      </x:c>
      <x:c r="F39" s="10"/>
      <x:c r="G39" s="10"/>
      <x:c r="H39" s="10"/>
      <x:c r="I39" s="10"/>
      <x:c r="J39" s="7" t="s">
        <x:v>107</x:v>
      </x:c>
    </x:row>
    <x:row r="40" spans="1:10">
      <x:c r="A40" s="29"/>
      <x:c r="B40" s="2" t="s">
        <x:v>98</x:v>
      </x:c>
      <x:c r="C40" s="8" t="s">
        <x:v>61</x:v>
      </x:c>
      <x:c r="D40" s="4" t="s">
        <x:v>57</x:v>
      </x:c>
      <x:c r="E40" s="7" t="s">
        <x:v>83</x:v>
      </x:c>
      <x:c r="F40" s="2"/>
      <x:c r="G40" s="2"/>
      <x:c r="H40" s="2">
        <x:v>21.0975</x:v>
      </x:c>
      <x:c r="I40" s="6">
        <x:f>SUM(F40:H40)</x:f>
        <x:v>21.0975</x:v>
      </x:c>
      <x:c r="J40" s="7" t="s">
        <x:v>87</x:v>
      </x:c>
    </x:row>
    <x:row r="41" spans="1:10">
      <x:c r="A41" s="29"/>
      <x:c r="B41" s="2" t="s">
        <x:v>98</x:v>
      </x:c>
      <x:c r="C41" s="8" t="s">
        <x:v>61</x:v>
      </x:c>
      <x:c r="D41" s="4" t="s">
        <x:v>57</x:v>
      </x:c>
      <x:c r="E41" s="5" t="s">
        <x:v>36</x:v>
      </x:c>
      <x:c r="F41" s="2"/>
      <x:c r="G41" s="2"/>
      <x:c r="H41" s="2">
        <x:v>10</x:v>
      </x:c>
      <x:c r="I41" s="6">
        <x:f>SUM(F41:H41)</x:f>
        <x:v>10</x:v>
      </x:c>
      <x:c r="J41" s="7" t="s">
        <x:v>89</x:v>
      </x:c>
    </x:row>
    <x:row r="42" spans="1:10">
      <x:c r="A42" s="29"/>
      <x:c r="B42" s="2" t="s">
        <x:v>99</x:v>
      </x:c>
      <x:c r="C42" s="8" t="s">
        <x:v>61</x:v>
      </x:c>
      <x:c r="D42" s="4" t="s">
        <x:v>100</x:v>
      </x:c>
      <x:c r="E42" s="5" t="s">
        <x:v>36</x:v>
      </x:c>
      <x:c r="F42" s="2"/>
      <x:c r="G42" s="2"/>
      <x:c r="H42" s="2">
        <x:v>10</x:v>
      </x:c>
      <x:c r="I42" s="6">
        <x:f>SUM(F42:H42)</x:f>
        <x:v>10</x:v>
      </x:c>
      <x:c r="J42" s="7" t="s">
        <x:v>92</x:v>
      </x:c>
    </x:row>
    <x:row r="44" spans="1:1">
      <x:c r="A44" s="16" t="s">
        <x:v>54</x:v>
      </x:c>
    </x:row>
    <x:row r="45" spans="1:1">
      <x:c r="A45" s="17" t="s">
        <x:v>0</x:v>
      </x:c>
    </x:row>
    <x:row r="46" spans="1:1">
      <x:c r="A46" s="18" t="s">
        <x:v>17</x:v>
      </x:c>
    </x:row>
    <x:row r="47" spans="1:1">
      <x:c r="A47" s="19" t="s">
        <x:v>61</x:v>
      </x:c>
    </x:row>
    <x:row r="48" spans="1:1">
      <x:c r="A48" s="20" t="s">
        <x:v>19</x:v>
      </x:c>
    </x:row>
    <x:row r="49" spans="1:1">
      <x:c r="A49" s="21" t="s">
        <x:v>82</x:v>
      </x:c>
    </x:row>
    <x:row r="51" spans="1:1">
      <x:c r="A51" s="22" t="s">
        <x:v>110</x:v>
      </x:c>
    </x:row>
    <x:row r="52" spans="1:1">
      <x:c r="A52" s="22" t="s">
        <x:v>58</x:v>
      </x:c>
    </x:row>
    <x:row r="53" spans="1:1">
      <x:c r="A53" s="22" t="s">
        <x:v>125</x:v>
      </x:c>
    </x:row>
    <x:row r="54" spans="1:1">
      <x:c r="A54" s="22" t="s">
        <x:v>103</x:v>
      </x:c>
    </x:row>
    <x:row r="55" spans="1:1">
      <x:c r="A55" s="22" t="s">
        <x:v>126</x:v>
      </x:c>
    </x:row>
    <x:row r="56" spans="1:1">
      <x:c r="A56" s="22" t="s">
        <x:v>77</x:v>
      </x:c>
    </x:row>
    <x:row r="57" spans="1:1">
      <x:c r="A57" s="22" t="s">
        <x:v>97</x:v>
      </x:c>
    </x:row>
    <x:row r="58" spans="1:1">
      <x:c r="A58" s="22" t="s">
        <x:v>96</x:v>
      </x:c>
    </x:row>
  </x:sheetData>
  <x:mergeCells count="9">
    <x:mergeCell ref="A1:J1"/>
    <x:mergeCell ref="A2:J2"/>
    <x:mergeCell ref="A5:A6"/>
    <x:mergeCell ref="A7:A8"/>
    <x:mergeCell ref="A9:A13"/>
    <x:mergeCell ref="A14:A17"/>
    <x:mergeCell ref="A18:A23"/>
    <x:mergeCell ref="A26:A34"/>
    <x:mergeCell ref="A35:A42"/>
  </x:mergeCells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회원 대회참가 현황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choco</cp:lastModifiedBy>
  <cp:revision>1</cp:revision>
  <dcterms:created xsi:type="dcterms:W3CDTF">2026-08-26T23:26:34.000</dcterms:created>
  <dcterms:modified xsi:type="dcterms:W3CDTF">2026-08-27T03:27:15.981</dcterms:modified>
  <cp:version>1300.0100.01</cp:version>
</cp:coreProperties>
</file>